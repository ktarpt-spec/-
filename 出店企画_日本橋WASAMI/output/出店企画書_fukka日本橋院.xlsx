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出店企画書雛形" sheetId="1" state="visible" r:id="rId1"/>
    <sheet xmlns:r="http://schemas.openxmlformats.org/officeDocument/2006/relationships" name="収支計画" sheetId="2" state="visible" r:id="rId2"/>
  </sheets>
  <definedNames>
    <definedName name="_xlnm.Print_Titles" localSheetId="1">'収支計画'!$19:$19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ＭＳ Ｐゴシック"/>
      <charset val="128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WenQuanYi Zen Hei"/>
      <family val="2"/>
      <b val="1"/>
      <sz val="18"/>
    </font>
    <font>
      <name val="WenQuanYi Zen Hei"/>
      <family val="2"/>
      <sz val="11"/>
    </font>
    <font>
      <name val="WenQuanYi Zen Hei"/>
      <family val="2"/>
      <b val="1"/>
      <sz val="11"/>
    </font>
    <font>
      <name val="WenQuanYi Zen Hei"/>
      <family val="2"/>
      <b val="1"/>
      <sz val="8"/>
    </font>
    <font>
      <name val="WenQuanYi Zen Hei"/>
      <family val="2"/>
      <sz val="8"/>
    </font>
    <font>
      <name val="ＭＳ Ｐゴシック"/>
      <charset val="128"/>
      <family val="3"/>
      <sz val="8"/>
    </font>
    <font>
      <name val="WenQuanYi Zen Hei"/>
      <sz val="9"/>
    </font>
    <font>
      <name val="ＭＳ Ｐゴシック"/>
      <sz val="10"/>
    </font>
    <font>
      <name val="ＭＳ Ｐゴシック"/>
      <sz val="9"/>
    </font>
    <font>
      <name val="ＭＳ Ｐゴシック"/>
      <sz val="8"/>
    </font>
    <font>
      <b val="1"/>
      <sz val="12"/>
    </font>
    <font>
      <color rgb="0052514E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EAF2E3"/>
      </patternFill>
    </fill>
    <fill>
      <patternFill patternType="solid">
        <fgColor rgb="00F3EDE4"/>
      </patternFill>
    </fill>
  </fills>
  <borders count="14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 style="thin"/>
      <top/>
      <bottom/>
      <diagonal/>
    </border>
    <border>
      <left style="thin">
        <color rgb="00C9C0B5"/>
      </left>
      <right style="thin">
        <color rgb="00C9C0B5"/>
      </right>
      <top style="thin">
        <color rgb="00C9C0B5"/>
      </top>
      <bottom style="thin">
        <color rgb="00C9C0B5"/>
      </bottom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general" vertical="center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5" fillId="0" borderId="2" applyAlignment="1" pivotButton="0" quotePrefix="0" xfId="0">
      <alignment horizontal="left" vertical="center" wrapText="1" indent="1"/>
    </xf>
    <xf numFmtId="0" fontId="6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1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0" fontId="11" fillId="0" borderId="4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12" fillId="0" borderId="2" applyAlignment="1" pivotButton="0" quotePrefix="0" xfId="0">
      <alignment vertical="center" wrapText="1"/>
    </xf>
    <xf numFmtId="0" fontId="0" fillId="0" borderId="6" pivotButton="0" quotePrefix="0" xfId="0"/>
    <xf numFmtId="0" fontId="0" fillId="0" borderId="7" pivotButton="0" quotePrefix="0" xfId="0"/>
    <xf numFmtId="0" fontId="10" fillId="0" borderId="8" applyAlignment="1" pivotButton="0" quotePrefix="0" xfId="0">
      <alignment vertical="center" wrapText="1"/>
    </xf>
    <xf numFmtId="0" fontId="0" fillId="0" borderId="8" pivotButton="0" quotePrefix="0" xfId="0"/>
    <xf numFmtId="0" fontId="0" fillId="0" borderId="0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center" vertical="center"/>
    </xf>
    <xf numFmtId="0" fontId="12" fillId="2" borderId="2" applyAlignment="1" pivotButton="0" quotePrefix="0" xfId="0">
      <alignment vertical="center" wrapText="1"/>
    </xf>
    <xf numFmtId="0" fontId="13" fillId="0" borderId="2" applyAlignment="1" pivotButton="0" quotePrefix="0" xfId="0">
      <alignment vertical="center" wrapText="1"/>
    </xf>
    <xf numFmtId="0" fontId="12" fillId="0" borderId="10" applyAlignment="1" pivotButton="0" quotePrefix="0" xfId="0">
      <alignment vertical="center" wrapText="1"/>
    </xf>
    <xf numFmtId="0" fontId="12" fillId="2" borderId="10" applyAlignment="1" pivotButton="0" quotePrefix="0" xfId="0">
      <alignment vertical="center" wrapText="1"/>
    </xf>
    <xf numFmtId="0" fontId="13" fillId="0" borderId="10" applyAlignment="1" pivotButton="0" quotePrefix="0" xfId="0">
      <alignment vertical="center" wrapText="1"/>
    </xf>
    <xf numFmtId="0" fontId="13" fillId="2" borderId="10" applyAlignment="1" pivotButton="0" quotePrefix="0" xfId="0">
      <alignment vertical="center" wrapText="1"/>
    </xf>
    <xf numFmtId="0" fontId="5" fillId="0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vertical="center" wrapText="1"/>
    </xf>
    <xf numFmtId="0" fontId="0" fillId="2" borderId="2" applyAlignment="1" pivotButton="0" quotePrefix="0" xfId="0">
      <alignment vertical="center" wrapText="1"/>
    </xf>
    <xf numFmtId="0" fontId="5" fillId="0" borderId="9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6" fillId="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6" fillId="3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6484375" defaultRowHeight="27.75" zeroHeight="0" outlineLevelRow="0"/>
  <cols>
    <col width="3.77" customWidth="1" style="27" min="1" max="1"/>
    <col width="27.44" customWidth="1" style="28" min="2" max="2"/>
    <col width="5.77" customWidth="1" style="28" min="3" max="3"/>
    <col width="17.88" customWidth="1" style="28" min="5" max="6"/>
  </cols>
  <sheetData>
    <row r="1" ht="27.75" customHeight="1" s="29">
      <c r="A1" s="30" t="inlineStr">
        <is>
          <t>出店企画書</t>
        </is>
      </c>
    </row>
    <row r="2" ht="27.75" customHeight="1" s="29">
      <c r="F2" s="31" t="inlineStr">
        <is>
          <t>2026年　10月　12日</t>
        </is>
      </c>
    </row>
    <row r="4" ht="27.75" customHeight="1" s="29">
      <c r="D4" s="32" t="inlineStr">
        <is>
          <t>所在地</t>
        </is>
      </c>
      <c r="E4" s="33" t="inlineStr">
        <is>
          <t>福岡県福岡市中央区赤坂1丁目14番35号 赤坂門AIビル5階</t>
        </is>
      </c>
      <c r="F4" s="34" t="n"/>
      <c r="G4" s="34" t="n"/>
    </row>
    <row r="5" ht="27.75" customHeight="1" s="29">
      <c r="D5" s="32" t="inlineStr">
        <is>
          <t>会社名</t>
        </is>
      </c>
      <c r="E5" s="35" t="inlineStr">
        <is>
          <t>株式会社ふっか</t>
        </is>
      </c>
      <c r="F5" s="34" t="n"/>
      <c r="G5" s="34" t="n"/>
    </row>
    <row r="6" ht="27.75" customHeight="1" s="29">
      <c r="D6" s="32" t="inlineStr">
        <is>
          <t>代表者</t>
        </is>
      </c>
      <c r="E6" s="35" t="inlineStr">
        <is>
          <t>代表取締役　松田 圭太</t>
        </is>
      </c>
      <c r="F6" s="34" t="n"/>
      <c r="G6" s="34" t="n"/>
    </row>
    <row r="7" ht="16.5" customHeight="1" s="29"/>
    <row r="8" ht="33" customHeight="1" s="29">
      <c r="A8" s="36" t="n">
        <v>1</v>
      </c>
      <c r="B8" s="37" t="inlineStr">
        <is>
          <t>店名（屋号）</t>
        </is>
      </c>
      <c r="C8" s="38" t="inlineStr">
        <is>
          <t>1階：整形外科ふっか 東京駅院　／　4・5階：整痛院ふっか 東京駅院</t>
        </is>
      </c>
      <c r="D8" s="39" t="n"/>
      <c r="E8" s="39" t="n"/>
      <c r="F8" s="39" t="n"/>
      <c r="G8" s="40" t="n"/>
    </row>
    <row r="9" ht="36" customHeight="1" s="29">
      <c r="A9" s="36" t="n">
        <v>2</v>
      </c>
      <c r="B9" s="37" t="inlineStr">
        <is>
          <t>営業種目（業態）</t>
        </is>
      </c>
      <c r="C9" s="41" t="inlineStr">
        <is>
          <t>1階：整形外科（診察・処置・1.5T MRI検査）
4・5階：痛み・しびれ専門の整痛院（手技・運動療法による慢性痛ケア／完全予約制）</t>
        </is>
      </c>
      <c r="D9" s="42" t="n"/>
      <c r="E9" s="42" t="n"/>
      <c r="F9" s="42" t="n"/>
      <c r="G9" s="43" t="n"/>
    </row>
    <row r="10" ht="36" customHeight="1" s="29">
      <c r="A10" s="36" t="n">
        <v>3</v>
      </c>
      <c r="B10" s="37" t="inlineStr">
        <is>
          <t>対象顧客（ターゲット）</t>
        </is>
      </c>
      <c r="C10" s="41" t="inlineStr">
        <is>
          <t>腰痛・肩こり・坐骨神経痛など慢性的な痛み・しびれに悩む40～70代の男女。
日本橋・東京駅周辺のオフィスワーカー、近隣居住者、出張・来訪者、銀座院の既存利用者</t>
        </is>
      </c>
      <c r="D10" s="42" t="n"/>
      <c r="E10" s="42" t="n"/>
      <c r="F10" s="42" t="n"/>
      <c r="G10" s="43" t="n"/>
    </row>
    <row r="11" ht="30" customHeight="1" s="29">
      <c r="A11" s="36" t="n">
        <v>4</v>
      </c>
      <c r="B11" s="37" t="inlineStr">
        <is>
          <t>取扱品目</t>
        </is>
      </c>
      <c r="C11" s="44" t="inlineStr">
        <is>
          <t>整痛施術（独自のMSMメソッド：手技・運動療法）、MRI検査、診察・処置、セルフケア用品</t>
        </is>
      </c>
      <c r="D11" s="34" t="n"/>
      <c r="E11" s="34" t="n"/>
      <c r="F11" s="34" t="n"/>
      <c r="G11" s="45" t="n"/>
    </row>
    <row r="12" ht="9" customHeight="1" s="29">
      <c r="B12" s="46" t="n"/>
    </row>
    <row r="13" ht="33" customHeight="1" s="29">
      <c r="B13" s="47" t="inlineStr">
        <is>
          <t>取扱品目詳細</t>
        </is>
      </c>
      <c r="C13" s="48" t="inlineStr">
        <is>
          <t>％</t>
        </is>
      </c>
      <c r="D13" s="48" t="inlineStr">
        <is>
          <t>特徴</t>
        </is>
      </c>
      <c r="E13" s="40" t="n"/>
      <c r="F13" s="48" t="inlineStr">
        <is>
          <t>価格帯</t>
        </is>
      </c>
      <c r="G13" s="40" t="n"/>
    </row>
    <row r="14" ht="34" customHeight="1" s="29">
      <c r="B14" s="41" t="inlineStr">
        <is>
          <t>整痛施術（個室）</t>
        </is>
      </c>
      <c r="C14" s="49" t="inlineStr">
        <is>
          <t>80%</t>
        </is>
      </c>
      <c r="D14" s="50" t="inlineStr">
        <is>
          <t>4・5F 個室施術室20室。コース制（初回約120分、2回目以降約30分）</t>
        </is>
      </c>
      <c r="E14" s="43" t="n"/>
      <c r="F14" s="50" t="inlineStr">
        <is>
          <t>痛み消失コース（6ヶ月）880,000円（税込）
理想の体コース（12ヶ月）1,320,000円（税込）</t>
        </is>
      </c>
      <c r="G14" s="43" t="n"/>
    </row>
    <row r="15" ht="34" customHeight="1" s="29">
      <c r="B15" s="41" t="inlineStr">
        <is>
          <t>MRI検査</t>
        </is>
      </c>
      <c r="C15" s="49" t="inlineStr">
        <is>
          <t>11%</t>
        </is>
      </c>
      <c r="D15" s="50" t="inlineStr">
        <is>
          <t>1F 1.5T超電導MRI（富士フイルム）。痛みの原因を画像で確認</t>
        </is>
      </c>
      <c r="E15" s="43" t="n"/>
      <c r="F15" s="50" t="inlineStr">
        <is>
          <t>自費診療 30,000～50,000円</t>
        </is>
      </c>
      <c r="G15" s="43" t="n"/>
    </row>
    <row r="16" ht="30" customHeight="1" s="29">
      <c r="B16" s="41" t="inlineStr">
        <is>
          <t>診察・処置</t>
        </is>
      </c>
      <c r="C16" s="49" t="inlineStr">
        <is>
          <t>7%</t>
        </is>
      </c>
      <c r="D16" s="50" t="inlineStr">
        <is>
          <t>1F 診察室・処置室。検査結果の説明・処置</t>
        </is>
      </c>
      <c r="E16" s="43" t="n"/>
      <c r="F16" s="50" t="inlineStr">
        <is>
          <t>自費診療 3,000～9,000円</t>
        </is>
      </c>
      <c r="G16" s="43" t="n"/>
    </row>
    <row r="17" ht="30" customHeight="1" s="29">
      <c r="B17" s="51" t="inlineStr">
        <is>
          <t>物販</t>
        </is>
      </c>
      <c r="C17" s="52" t="inlineStr">
        <is>
          <t>2%</t>
        </is>
      </c>
      <c r="D17" s="53" t="inlineStr">
        <is>
          <t>セルフケア用品・サポーター等（受付で案内）</t>
        </is>
      </c>
      <c r="E17" s="45" t="n"/>
      <c r="F17" s="54" t="inlineStr">
        <is>
          <t>1,000～8,000円＊</t>
        </is>
      </c>
      <c r="G17" s="45" t="n"/>
    </row>
    <row r="18" ht="9" customHeight="1" s="29"/>
    <row r="19" ht="72" customHeight="1" s="29">
      <c r="A19" s="36" t="n">
        <v>5</v>
      </c>
      <c r="B19" s="55" t="inlineStr">
        <is>
          <t>店舗の内装イメージ</t>
        </is>
      </c>
      <c r="C19" s="56" t="inlineStr">
        <is>
          <t>銀座院の内装（白い塗り壁・木目・ベージュ系カーペット、中央の円形受付カウンターと木の天井リング）を踏襲し、規模を拡大して施術室を増設（4F・5F 各10室、各約4畳）。4Fは受付を中央に大きく配置した開放的なロビー。
■添付：内観パース（P.9～11）、平面図 A-01（1F・P.3）・A-02（4F・P.4）・A-03（5F・P.5）、仕上表（P.14）</t>
        </is>
      </c>
      <c r="D19" s="42" t="n"/>
      <c r="E19" s="42" t="n"/>
      <c r="F19" s="42" t="n"/>
      <c r="G19" s="43" t="n"/>
    </row>
    <row r="20" ht="80" customHeight="1" s="29">
      <c r="A20" s="36" t="n">
        <v>6</v>
      </c>
      <c r="B20" s="55" t="inlineStr">
        <is>
          <t>店舗の外装イメージ</t>
        </is>
      </c>
      <c r="C20" s="56" t="inlineStr">
        <is>
          <t>貸主様のご意向に沿い、看板を目立たせない落ち着いた外観とします。ビル指定のサイン位置（S1・S2）に店名ロゴのみ表示し、1F正面は木調ルーバー越しの電球色の間接光に留めます。
■添付：外観パース（P.8）、立面図 A-04（P.6・サイン位置・使用素材明記）、1F入口詳細図 A-05（P.7）、平面図 A-01</t>
        </is>
      </c>
      <c r="D20" s="42" t="n"/>
      <c r="E20" s="42" t="n"/>
      <c r="F20" s="42" t="n"/>
      <c r="G20" s="43" t="n"/>
    </row>
    <row r="21" ht="52" customHeight="1" s="29">
      <c r="A21" s="36" t="n">
        <v>7</v>
      </c>
      <c r="B21" s="55" t="inlineStr">
        <is>
          <t>設備内容
重要設備等あればご記載ください。</t>
        </is>
      </c>
      <c r="C21" s="41" t="inlineStr">
        <is>
          <t>1F：1.5T超電導MRI（富士フイルム製・ゼロヘリウム型を想定：クエンチ配管不要）、電磁シールド工事、専用電源・空調・チラー、診察・処置用医療機器
4・5F：施術ベッド20台、受付カウンター、更衣ロッカー　5F：スタッフ休憩室（ミニキッチン）・スタッフ更衣室・物品庫</t>
        </is>
      </c>
      <c r="D21" s="42" t="n"/>
      <c r="E21" s="42" t="n"/>
      <c r="F21" s="42" t="n"/>
      <c r="G21" s="43" t="n"/>
    </row>
    <row r="22" ht="33" customHeight="1" s="29">
      <c r="A22" s="36" t="n">
        <v>8</v>
      </c>
      <c r="B22" s="37" t="inlineStr">
        <is>
          <t>営業時間</t>
        </is>
      </c>
      <c r="C22" s="57" t="inlineStr">
        <is>
          <t>9:00～21:00（最終受付 20:00）※銀座院の営業時間に準拠</t>
        </is>
      </c>
      <c r="D22" s="42" t="n"/>
      <c r="E22" s="42" t="n"/>
      <c r="F22" s="42" t="n"/>
      <c r="G22" s="43" t="n"/>
    </row>
    <row r="23" ht="33" customHeight="1" s="29">
      <c r="A23" s="36" t="n">
        <v>9</v>
      </c>
      <c r="B23" s="37" t="inlineStr">
        <is>
          <t>閉店日（休日）</t>
        </is>
      </c>
      <c r="C23" s="57" t="inlineStr">
        <is>
          <t>不定休（年末年始を除き原則無休）</t>
        </is>
      </c>
      <c r="D23" s="42" t="n"/>
      <c r="E23" s="42" t="n"/>
      <c r="F23" s="42" t="n"/>
      <c r="G23" s="43" t="n"/>
    </row>
    <row r="24" ht="33" customHeight="1" s="29">
      <c r="A24" s="36" t="n">
        <v>10</v>
      </c>
      <c r="B24" s="37" t="inlineStr">
        <is>
          <t>売上見込（月間）</t>
        </is>
      </c>
      <c r="C24" s="41" t="inlineStr">
        <is>
          <t>最終月商 5,600万円（3年目）　※賃料比率 約16%・営業利益率 約33%：別シート「収支計画」／添付資料P.12参照</t>
        </is>
      </c>
      <c r="D24" s="42" t="n"/>
      <c r="E24" s="42" t="n"/>
      <c r="F24" s="42" t="n"/>
      <c r="G24" s="43" t="n"/>
    </row>
    <row r="25" ht="40" customHeight="1" s="29">
      <c r="A25" s="36" t="n">
        <v>11</v>
      </c>
      <c r="B25" s="37" t="inlineStr">
        <is>
          <t>添付書類</t>
        </is>
      </c>
      <c r="C25" s="56" t="inlineStr">
        <is>
          <t>店舗内装イメージ資料、店舗外装イメージ資料
（添付資料.pdf：計画概要、平面図A-01～03、立面図・サイン計画A-04、1F入口詳細A-05、外観・内観パース、収支計画、銀座院のご紹介、仕上表・ビル規定対応）</t>
        </is>
      </c>
      <c r="D25" s="42" t="n"/>
      <c r="E25" s="42" t="n"/>
      <c r="F25" s="42" t="n"/>
      <c r="G25" s="43" t="n"/>
    </row>
    <row r="26" ht="36" customHeight="1" s="29">
      <c r="A26" s="36" t="n">
        <v>12</v>
      </c>
      <c r="B26" s="58" t="inlineStr">
        <is>
          <t xml:space="preserve">   担当者名
   連絡先(TEL・Mail）</t>
        </is>
      </c>
      <c r="C26" s="41" t="inlineStr">
        <is>
          <t>松田 圭太
TEL：090-5386-3810　Mail：kta@medicalbookjapan.co.jp</t>
        </is>
      </c>
      <c r="D26" s="42" t="n"/>
      <c r="E26" s="42" t="n"/>
      <c r="F26" s="42" t="n"/>
      <c r="G26" s="43" t="n"/>
    </row>
    <row r="27" ht="100" customHeight="1" s="29">
      <c r="A27" s="36" t="n">
        <v>13</v>
      </c>
      <c r="B27" s="37" t="inlineStr">
        <is>
          <t>備考</t>
        </is>
      </c>
      <c r="C27" s="50" t="inlineStr">
        <is>
          <t>・面積：1F 98.36㎡（約29.75坪）、4F・5F 各G229.86㎡（約69.53坪）、合計約168.8坪（募集資料）。図面寸法は実施設計時にビル側図面で確定します。
・本ビルは誘導用途区画のため、診療所・施術所用途の適合性を事前にご確認させていただきます。
・MRI（1.5T）は床荷重5,000N/㎡の1Fに配置。重量（荷重分散架台）・搬入経路・シールド工事・電源容量をビル側と協議します。
・賃料比率（最終月商比 約16%）は、駅徒歩1分の立地による広告費の圧縮（売上比 約4%）と自費100%による粗利率 約94%で吸収し、営業利益率 約33%を見込みます（収支計画参照）。
・緑色セル（＊）は市場平均等による概算値です（構成比・営業時間・休日・物販価格）。</t>
        </is>
      </c>
      <c r="D27" s="42" t="n"/>
      <c r="E27" s="42" t="n"/>
      <c r="F27" s="42" t="n"/>
      <c r="G27" s="43" t="n"/>
    </row>
    <row r="28" ht="10.5" customHeight="1" s="29"/>
  </sheetData>
  <mergeCells count="28">
    <mergeCell ref="F16:G16"/>
    <mergeCell ref="C24:G24"/>
    <mergeCell ref="E6:G6"/>
    <mergeCell ref="C26:G26"/>
    <mergeCell ref="C20:G20"/>
    <mergeCell ref="F15:G15"/>
    <mergeCell ref="C10:G10"/>
    <mergeCell ref="D13:E13"/>
    <mergeCell ref="C25:G25"/>
    <mergeCell ref="C22:G22"/>
    <mergeCell ref="D17:E17"/>
    <mergeCell ref="C9:G9"/>
    <mergeCell ref="F17:G17"/>
    <mergeCell ref="F2:G2"/>
    <mergeCell ref="C21:G21"/>
    <mergeCell ref="D16:E16"/>
    <mergeCell ref="A1:G1"/>
    <mergeCell ref="C11:G11"/>
    <mergeCell ref="C27:G27"/>
    <mergeCell ref="F13:G13"/>
    <mergeCell ref="C23:G23"/>
    <mergeCell ref="C8:G8"/>
    <mergeCell ref="D15:E15"/>
    <mergeCell ref="E5:G5"/>
    <mergeCell ref="C19:G19"/>
    <mergeCell ref="D14:E14"/>
    <mergeCell ref="E4:G4"/>
    <mergeCell ref="F14:G14"/>
  </mergeCells>
  <printOptions horizontalCentered="0" verticalCentered="0" headings="0" gridLines="0" gridLinesSet="1"/>
  <pageMargins left="0.490277777777778" right="0.459722222222222" top="0.740277777777778" bottom="0.379861111111111" header="0.511811023622047" footer="0.511811023622047"/>
  <pageSetup orientation="portrait" paperSize="9" scale="92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workbookViewId="0">
      <selection activeCell="A1" sqref="A1"/>
    </sheetView>
  </sheetViews>
  <sheetFormatPr baseColWidth="8" defaultRowHeight="15"/>
  <cols>
    <col width="16" customWidth="1" style="29" min="1" max="1"/>
    <col width="10" customWidth="1" style="29" min="2" max="2"/>
    <col width="10" customWidth="1" style="29" min="3" max="3"/>
    <col width="10" customWidth="1" style="29" min="4" max="4"/>
    <col width="10" customWidth="1" style="29" min="5" max="5"/>
    <col width="12" customWidth="1" style="29" min="6" max="6"/>
    <col width="11" customWidth="1" style="29" min="7" max="7"/>
    <col width="12" customWidth="1" style="29" min="8" max="8"/>
    <col width="10" customWidth="1" style="29" min="9" max="9"/>
    <col width="10" customWidth="1" style="29" min="10" max="10"/>
    <col width="9" customWidth="1" style="29" min="11" max="11"/>
  </cols>
  <sheetData>
    <row r="1">
      <c r="A1" s="59" t="inlineStr">
        <is>
          <t>収支計画（概算）　整形外科ふっか／整痛院ふっか 東京駅院　単位：万円</t>
        </is>
      </c>
    </row>
    <row r="2">
      <c r="A2" s="60" t="inlineStr">
        <is>
          <t>前提：最終月商5,600万円（36か月目）／自費100％・売上原価率6％／賃料・共益費900万円/月（最終月商比 約16％）。人件費=1,152+売上×8％、その他販管費=600+売上×2％。</t>
        </is>
      </c>
    </row>
    <row r="4">
      <c r="A4" s="61" t="inlineStr">
        <is>
          <t>年次サマリー</t>
        </is>
      </c>
    </row>
    <row r="5">
      <c r="A5" s="62" t="inlineStr">
        <is>
          <t>項目</t>
        </is>
      </c>
      <c r="B5" s="62" t="inlineStr">
        <is>
          <t>1年目</t>
        </is>
      </c>
      <c r="C5" s="62" t="inlineStr">
        <is>
          <t>2年目</t>
        </is>
      </c>
      <c r="D5" s="62" t="inlineStr">
        <is>
          <t>3年目</t>
        </is>
      </c>
    </row>
    <row r="6">
      <c r="A6" s="63" t="inlineStr">
        <is>
          <t>売上高</t>
        </is>
      </c>
      <c r="B6" s="64">
        <f>SUM(C20:C31)</f>
        <v/>
      </c>
      <c r="C6" s="64">
        <f>SUM(C32:C43)</f>
        <v/>
      </c>
      <c r="D6" s="64">
        <f>SUM(C44:C55)</f>
        <v/>
      </c>
    </row>
    <row r="7">
      <c r="A7" s="63" t="inlineStr">
        <is>
          <t>売上原価</t>
        </is>
      </c>
      <c r="B7" s="64">
        <f>SUM(D20:D31)</f>
        <v/>
      </c>
      <c r="C7" s="64">
        <f>SUM(D32:D43)</f>
        <v/>
      </c>
      <c r="D7" s="64">
        <f>SUM(D44:D55)</f>
        <v/>
      </c>
    </row>
    <row r="8">
      <c r="A8" s="63" t="inlineStr">
        <is>
          <t>売上総利益</t>
        </is>
      </c>
      <c r="B8" s="64">
        <f>B6-B7</f>
        <v/>
      </c>
      <c r="C8" s="64">
        <f>C6-C7</f>
        <v/>
      </c>
      <c r="D8" s="64">
        <f>D6-D7</f>
        <v/>
      </c>
    </row>
    <row r="9">
      <c r="A9" s="63" t="inlineStr">
        <is>
          <t>人件費</t>
        </is>
      </c>
      <c r="B9" s="64">
        <f>SUM(E20:E31)</f>
        <v/>
      </c>
      <c r="C9" s="64">
        <f>SUM(E32:E43)</f>
        <v/>
      </c>
      <c r="D9" s="64">
        <f>SUM(E44:E55)</f>
        <v/>
      </c>
    </row>
    <row r="10">
      <c r="A10" s="63" t="inlineStr">
        <is>
          <t>賃料・共益費</t>
        </is>
      </c>
      <c r="B10" s="64">
        <f>SUM(F20:F31)</f>
        <v/>
      </c>
      <c r="C10" s="64">
        <f>SUM(F32:F43)</f>
        <v/>
      </c>
      <c r="D10" s="64">
        <f>SUM(F44:F55)</f>
        <v/>
      </c>
    </row>
    <row r="11">
      <c r="A11" s="63" t="inlineStr">
        <is>
          <t>広告宣伝費</t>
        </is>
      </c>
      <c r="B11" s="64">
        <f>SUM(G20:G31)</f>
        <v/>
      </c>
      <c r="C11" s="64">
        <f>SUM(G32:G43)</f>
        <v/>
      </c>
      <c r="D11" s="64">
        <f>SUM(G44:G55)</f>
        <v/>
      </c>
    </row>
    <row r="12">
      <c r="A12" s="63" t="inlineStr">
        <is>
          <t>その他販管費</t>
        </is>
      </c>
      <c r="B12" s="64">
        <f>SUM(H20:H31)</f>
        <v/>
      </c>
      <c r="C12" s="64">
        <f>SUM(H32:H43)</f>
        <v/>
      </c>
      <c r="D12" s="64">
        <f>SUM(H44:H55)</f>
        <v/>
      </c>
    </row>
    <row r="13">
      <c r="A13" s="63" t="inlineStr">
        <is>
          <t>販管費計</t>
        </is>
      </c>
      <c r="B13" s="64">
        <f>SUM(B9:B12)</f>
        <v/>
      </c>
      <c r="C13" s="64">
        <f>SUM(C9:C12)</f>
        <v/>
      </c>
      <c r="D13" s="64">
        <f>SUM(D9:D12)</f>
        <v/>
      </c>
    </row>
    <row r="14">
      <c r="A14" s="63" t="inlineStr">
        <is>
          <t>営業利益</t>
        </is>
      </c>
      <c r="B14" s="64">
        <f>B8-B13</f>
        <v/>
      </c>
      <c r="C14" s="64">
        <f>C8-C13</f>
        <v/>
      </c>
      <c r="D14" s="64">
        <f>D8-D13</f>
        <v/>
      </c>
    </row>
    <row r="15">
      <c r="A15" s="63" t="inlineStr">
        <is>
          <t>営業利益率</t>
        </is>
      </c>
      <c r="B15" s="65">
        <f>B14/B6</f>
        <v/>
      </c>
      <c r="C15" s="65">
        <f>C14/C6</f>
        <v/>
      </c>
      <c r="D15" s="65">
        <f>D14/D6</f>
        <v/>
      </c>
    </row>
    <row r="16">
      <c r="A16" s="63" t="inlineStr">
        <is>
          <t>賃料比率（対売上）</t>
        </is>
      </c>
      <c r="B16" s="65">
        <f>B10/B6</f>
        <v/>
      </c>
      <c r="C16" s="65">
        <f>C10/C6</f>
        <v/>
      </c>
      <c r="D16" s="65">
        <f>D10/D6</f>
        <v/>
      </c>
    </row>
    <row r="19">
      <c r="A19" s="66" t="inlineStr">
        <is>
          <t>年</t>
        </is>
      </c>
      <c r="B19" s="66" t="inlineStr">
        <is>
          <t>月</t>
        </is>
      </c>
      <c r="C19" s="66" t="inlineStr">
        <is>
          <t>売上高</t>
        </is>
      </c>
      <c r="D19" s="66" t="inlineStr">
        <is>
          <t>売上原価</t>
        </is>
      </c>
      <c r="E19" s="66" t="inlineStr">
        <is>
          <t>人件費</t>
        </is>
      </c>
      <c r="F19" s="66" t="inlineStr">
        <is>
          <t>賃料・共益費</t>
        </is>
      </c>
      <c r="G19" s="66" t="inlineStr">
        <is>
          <t>広告宣伝費</t>
        </is>
      </c>
      <c r="H19" s="66" t="inlineStr">
        <is>
          <t>その他販管費</t>
        </is>
      </c>
      <c r="I19" s="66" t="inlineStr">
        <is>
          <t>販管費計</t>
        </is>
      </c>
      <c r="J19" s="66" t="inlineStr">
        <is>
          <t>営業利益</t>
        </is>
      </c>
      <c r="K19" s="66" t="inlineStr">
        <is>
          <t>賃料比率</t>
        </is>
      </c>
    </row>
    <row r="20">
      <c r="A20" t="inlineStr">
        <is>
          <t>1年目</t>
        </is>
      </c>
      <c r="B20" t="n">
        <v>1</v>
      </c>
      <c r="C20" s="67" t="n">
        <v>1840</v>
      </c>
      <c r="D20" s="67">
        <f>ROUND(C20*0.06,0)</f>
        <v/>
      </c>
      <c r="E20" s="67">
        <f>ROUND(1152+C20*0.08,0)</f>
        <v/>
      </c>
      <c r="F20" s="67" t="n">
        <v>900</v>
      </c>
      <c r="G20" s="67" t="n">
        <v>300</v>
      </c>
      <c r="H20" s="67">
        <f>ROUND(600+C20*0.02,0)</f>
        <v/>
      </c>
      <c r="I20" s="67">
        <f>SUM(E20:H20)</f>
        <v/>
      </c>
      <c r="J20" s="67">
        <f>C20-D20-I20</f>
        <v/>
      </c>
      <c r="K20" s="68">
        <f>F20/C20</f>
        <v/>
      </c>
    </row>
    <row r="21">
      <c r="A21" t="inlineStr">
        <is>
          <t>1年目</t>
        </is>
      </c>
      <c r="B21" t="n">
        <v>2</v>
      </c>
      <c r="C21" s="67" t="n">
        <v>2240</v>
      </c>
      <c r="D21" s="67">
        <f>ROUND(C21*0.06,0)</f>
        <v/>
      </c>
      <c r="E21" s="67">
        <f>ROUND(1152+C21*0.08,0)</f>
        <v/>
      </c>
      <c r="F21" s="67" t="n">
        <v>900</v>
      </c>
      <c r="G21" s="67" t="n">
        <v>300</v>
      </c>
      <c r="H21" s="67">
        <f>ROUND(600+C21*0.02,0)</f>
        <v/>
      </c>
      <c r="I21" s="67">
        <f>SUM(E21:H21)</f>
        <v/>
      </c>
      <c r="J21" s="67">
        <f>C21-D21-I21</f>
        <v/>
      </c>
      <c r="K21" s="68">
        <f>F21/C21</f>
        <v/>
      </c>
    </row>
    <row r="22">
      <c r="A22" t="inlineStr">
        <is>
          <t>1年目</t>
        </is>
      </c>
      <c r="B22" t="n">
        <v>3</v>
      </c>
      <c r="C22" s="67" t="n">
        <v>2590</v>
      </c>
      <c r="D22" s="67">
        <f>ROUND(C22*0.06,0)</f>
        <v/>
      </c>
      <c r="E22" s="67">
        <f>ROUND(1152+C22*0.08,0)</f>
        <v/>
      </c>
      <c r="F22" s="67" t="n">
        <v>900</v>
      </c>
      <c r="G22" s="67" t="n">
        <v>300</v>
      </c>
      <c r="H22" s="67">
        <f>ROUND(600+C22*0.02,0)</f>
        <v/>
      </c>
      <c r="I22" s="67">
        <f>SUM(E22:H22)</f>
        <v/>
      </c>
      <c r="J22" s="67">
        <f>C22-D22-I22</f>
        <v/>
      </c>
      <c r="K22" s="68">
        <f>F22/C22</f>
        <v/>
      </c>
    </row>
    <row r="23">
      <c r="A23" t="inlineStr">
        <is>
          <t>1年目</t>
        </is>
      </c>
      <c r="B23" t="n">
        <v>4</v>
      </c>
      <c r="C23" s="67" t="n">
        <v>2910</v>
      </c>
      <c r="D23" s="67">
        <f>ROUND(C23*0.06,0)</f>
        <v/>
      </c>
      <c r="E23" s="67">
        <f>ROUND(1152+C23*0.08,0)</f>
        <v/>
      </c>
      <c r="F23" s="67" t="n">
        <v>900</v>
      </c>
      <c r="G23" s="67" t="n">
        <v>300</v>
      </c>
      <c r="H23" s="67">
        <f>ROUND(600+C23*0.02,0)</f>
        <v/>
      </c>
      <c r="I23" s="67">
        <f>SUM(E23:H23)</f>
        <v/>
      </c>
      <c r="J23" s="67">
        <f>C23-D23-I23</f>
        <v/>
      </c>
      <c r="K23" s="68">
        <f>F23/C23</f>
        <v/>
      </c>
    </row>
    <row r="24">
      <c r="A24" t="inlineStr">
        <is>
          <t>1年目</t>
        </is>
      </c>
      <c r="B24" t="n">
        <v>5</v>
      </c>
      <c r="C24" s="67" t="n">
        <v>3190</v>
      </c>
      <c r="D24" s="67">
        <f>ROUND(C24*0.06,0)</f>
        <v/>
      </c>
      <c r="E24" s="67">
        <f>ROUND(1152+C24*0.08,0)</f>
        <v/>
      </c>
      <c r="F24" s="67" t="n">
        <v>900</v>
      </c>
      <c r="G24" s="67" t="n">
        <v>300</v>
      </c>
      <c r="H24" s="67">
        <f>ROUND(600+C24*0.02,0)</f>
        <v/>
      </c>
      <c r="I24" s="67">
        <f>SUM(E24:H24)</f>
        <v/>
      </c>
      <c r="J24" s="67">
        <f>C24-D24-I24</f>
        <v/>
      </c>
      <c r="K24" s="68">
        <f>F24/C24</f>
        <v/>
      </c>
    </row>
    <row r="25">
      <c r="A25" t="inlineStr">
        <is>
          <t>1年目</t>
        </is>
      </c>
      <c r="B25" t="n">
        <v>6</v>
      </c>
      <c r="C25" s="67" t="n">
        <v>3440</v>
      </c>
      <c r="D25" s="67">
        <f>ROUND(C25*0.06,0)</f>
        <v/>
      </c>
      <c r="E25" s="67">
        <f>ROUND(1152+C25*0.08,0)</f>
        <v/>
      </c>
      <c r="F25" s="67" t="n">
        <v>900</v>
      </c>
      <c r="G25" s="67" t="n">
        <v>300</v>
      </c>
      <c r="H25" s="67">
        <f>ROUND(600+C25*0.02,0)</f>
        <v/>
      </c>
      <c r="I25" s="67">
        <f>SUM(E25:H25)</f>
        <v/>
      </c>
      <c r="J25" s="67">
        <f>C25-D25-I25</f>
        <v/>
      </c>
      <c r="K25" s="68">
        <f>F25/C25</f>
        <v/>
      </c>
    </row>
    <row r="26">
      <c r="A26" t="inlineStr">
        <is>
          <t>1年目</t>
        </is>
      </c>
      <c r="B26" t="n">
        <v>7</v>
      </c>
      <c r="C26" s="67" t="n">
        <v>3670</v>
      </c>
      <c r="D26" s="67">
        <f>ROUND(C26*0.06,0)</f>
        <v/>
      </c>
      <c r="E26" s="67">
        <f>ROUND(1152+C26*0.08,0)</f>
        <v/>
      </c>
      <c r="F26" s="67" t="n">
        <v>900</v>
      </c>
      <c r="G26" s="67" t="n">
        <v>300</v>
      </c>
      <c r="H26" s="67">
        <f>ROUND(600+C26*0.02,0)</f>
        <v/>
      </c>
      <c r="I26" s="67">
        <f>SUM(E26:H26)</f>
        <v/>
      </c>
      <c r="J26" s="67">
        <f>C26-D26-I26</f>
        <v/>
      </c>
      <c r="K26" s="68">
        <f>F26/C26</f>
        <v/>
      </c>
    </row>
    <row r="27">
      <c r="A27" t="inlineStr">
        <is>
          <t>1年目</t>
        </is>
      </c>
      <c r="B27" t="n">
        <v>8</v>
      </c>
      <c r="C27" s="67" t="n">
        <v>3870</v>
      </c>
      <c r="D27" s="67">
        <f>ROUND(C27*0.06,0)</f>
        <v/>
      </c>
      <c r="E27" s="67">
        <f>ROUND(1152+C27*0.08,0)</f>
        <v/>
      </c>
      <c r="F27" s="67" t="n">
        <v>900</v>
      </c>
      <c r="G27" s="67" t="n">
        <v>300</v>
      </c>
      <c r="H27" s="67">
        <f>ROUND(600+C27*0.02,0)</f>
        <v/>
      </c>
      <c r="I27" s="67">
        <f>SUM(E27:H27)</f>
        <v/>
      </c>
      <c r="J27" s="67">
        <f>C27-D27-I27</f>
        <v/>
      </c>
      <c r="K27" s="68">
        <f>F27/C27</f>
        <v/>
      </c>
    </row>
    <row r="28">
      <c r="A28" t="inlineStr">
        <is>
          <t>1年目</t>
        </is>
      </c>
      <c r="B28" t="n">
        <v>9</v>
      </c>
      <c r="C28" s="67" t="n">
        <v>4050</v>
      </c>
      <c r="D28" s="67">
        <f>ROUND(C28*0.06,0)</f>
        <v/>
      </c>
      <c r="E28" s="67">
        <f>ROUND(1152+C28*0.08,0)</f>
        <v/>
      </c>
      <c r="F28" s="67" t="n">
        <v>900</v>
      </c>
      <c r="G28" s="67" t="n">
        <v>300</v>
      </c>
      <c r="H28" s="67">
        <f>ROUND(600+C28*0.02,0)</f>
        <v/>
      </c>
      <c r="I28" s="67">
        <f>SUM(E28:H28)</f>
        <v/>
      </c>
      <c r="J28" s="67">
        <f>C28-D28-I28</f>
        <v/>
      </c>
      <c r="K28" s="68">
        <f>F28/C28</f>
        <v/>
      </c>
    </row>
    <row r="29">
      <c r="A29" t="inlineStr">
        <is>
          <t>1年目</t>
        </is>
      </c>
      <c r="B29" t="n">
        <v>10</v>
      </c>
      <c r="C29" s="67" t="n">
        <v>4220</v>
      </c>
      <c r="D29" s="67">
        <f>ROUND(C29*0.06,0)</f>
        <v/>
      </c>
      <c r="E29" s="67">
        <f>ROUND(1152+C29*0.08,0)</f>
        <v/>
      </c>
      <c r="F29" s="67" t="n">
        <v>900</v>
      </c>
      <c r="G29" s="67" t="n">
        <v>300</v>
      </c>
      <c r="H29" s="67">
        <f>ROUND(600+C29*0.02,0)</f>
        <v/>
      </c>
      <c r="I29" s="67">
        <f>SUM(E29:H29)</f>
        <v/>
      </c>
      <c r="J29" s="67">
        <f>C29-D29-I29</f>
        <v/>
      </c>
      <c r="K29" s="68">
        <f>F29/C29</f>
        <v/>
      </c>
    </row>
    <row r="30">
      <c r="A30" t="inlineStr">
        <is>
          <t>1年目</t>
        </is>
      </c>
      <c r="B30" t="n">
        <v>11</v>
      </c>
      <c r="C30" s="67" t="n">
        <v>4360</v>
      </c>
      <c r="D30" s="67">
        <f>ROUND(C30*0.06,0)</f>
        <v/>
      </c>
      <c r="E30" s="67">
        <f>ROUND(1152+C30*0.08,0)</f>
        <v/>
      </c>
      <c r="F30" s="67" t="n">
        <v>900</v>
      </c>
      <c r="G30" s="67" t="n">
        <v>300</v>
      </c>
      <c r="H30" s="67">
        <f>ROUND(600+C30*0.02,0)</f>
        <v/>
      </c>
      <c r="I30" s="67">
        <f>SUM(E30:H30)</f>
        <v/>
      </c>
      <c r="J30" s="67">
        <f>C30-D30-I30</f>
        <v/>
      </c>
      <c r="K30" s="68">
        <f>F30/C30</f>
        <v/>
      </c>
    </row>
    <row r="31">
      <c r="A31" t="inlineStr">
        <is>
          <t>1年目</t>
        </is>
      </c>
      <c r="B31" t="n">
        <v>12</v>
      </c>
      <c r="C31" s="67" t="n">
        <v>4490</v>
      </c>
      <c r="D31" s="67">
        <f>ROUND(C31*0.06,0)</f>
        <v/>
      </c>
      <c r="E31" s="67">
        <f>ROUND(1152+C31*0.08,0)</f>
        <v/>
      </c>
      <c r="F31" s="67" t="n">
        <v>900</v>
      </c>
      <c r="G31" s="67" t="n">
        <v>300</v>
      </c>
      <c r="H31" s="67">
        <f>ROUND(600+C31*0.02,0)</f>
        <v/>
      </c>
      <c r="I31" s="67">
        <f>SUM(E31:H31)</f>
        <v/>
      </c>
      <c r="J31" s="67">
        <f>C31-D31-I31</f>
        <v/>
      </c>
      <c r="K31" s="68">
        <f>F31/C31</f>
        <v/>
      </c>
    </row>
    <row r="32">
      <c r="A32" t="inlineStr">
        <is>
          <t>2年目</t>
        </is>
      </c>
      <c r="B32" t="n">
        <v>13</v>
      </c>
      <c r="C32" s="67" t="n">
        <v>4610</v>
      </c>
      <c r="D32" s="67">
        <f>ROUND(C32*0.06,0)</f>
        <v/>
      </c>
      <c r="E32" s="67">
        <f>ROUND(1152+C32*0.08,0)</f>
        <v/>
      </c>
      <c r="F32" s="67" t="n">
        <v>900</v>
      </c>
      <c r="G32" s="67" t="n">
        <v>250</v>
      </c>
      <c r="H32" s="67">
        <f>ROUND(600+C32*0.02,0)</f>
        <v/>
      </c>
      <c r="I32" s="67">
        <f>SUM(E32:H32)</f>
        <v/>
      </c>
      <c r="J32" s="67">
        <f>C32-D32-I32</f>
        <v/>
      </c>
      <c r="K32" s="68">
        <f>F32/C32</f>
        <v/>
      </c>
    </row>
    <row r="33">
      <c r="A33" t="inlineStr">
        <is>
          <t>2年目</t>
        </is>
      </c>
      <c r="B33" t="n">
        <v>14</v>
      </c>
      <c r="C33" s="67" t="n">
        <v>4710</v>
      </c>
      <c r="D33" s="67">
        <f>ROUND(C33*0.06,0)</f>
        <v/>
      </c>
      <c r="E33" s="67">
        <f>ROUND(1152+C33*0.08,0)</f>
        <v/>
      </c>
      <c r="F33" s="67" t="n">
        <v>900</v>
      </c>
      <c r="G33" s="67" t="n">
        <v>250</v>
      </c>
      <c r="H33" s="67">
        <f>ROUND(600+C33*0.02,0)</f>
        <v/>
      </c>
      <c r="I33" s="67">
        <f>SUM(E33:H33)</f>
        <v/>
      </c>
      <c r="J33" s="67">
        <f>C33-D33-I33</f>
        <v/>
      </c>
      <c r="K33" s="68">
        <f>F33/C33</f>
        <v/>
      </c>
    </row>
    <row r="34">
      <c r="A34" t="inlineStr">
        <is>
          <t>2年目</t>
        </is>
      </c>
      <c r="B34" t="n">
        <v>15</v>
      </c>
      <c r="C34" s="67" t="n">
        <v>4810</v>
      </c>
      <c r="D34" s="67">
        <f>ROUND(C34*0.06,0)</f>
        <v/>
      </c>
      <c r="E34" s="67">
        <f>ROUND(1152+C34*0.08,0)</f>
        <v/>
      </c>
      <c r="F34" s="67" t="n">
        <v>900</v>
      </c>
      <c r="G34" s="67" t="n">
        <v>250</v>
      </c>
      <c r="H34" s="67">
        <f>ROUND(600+C34*0.02,0)</f>
        <v/>
      </c>
      <c r="I34" s="67">
        <f>SUM(E34:H34)</f>
        <v/>
      </c>
      <c r="J34" s="67">
        <f>C34-D34-I34</f>
        <v/>
      </c>
      <c r="K34" s="68">
        <f>F34/C34</f>
        <v/>
      </c>
    </row>
    <row r="35">
      <c r="A35" t="inlineStr">
        <is>
          <t>2年目</t>
        </is>
      </c>
      <c r="B35" t="n">
        <v>16</v>
      </c>
      <c r="C35" s="67" t="n">
        <v>4890</v>
      </c>
      <c r="D35" s="67">
        <f>ROUND(C35*0.06,0)</f>
        <v/>
      </c>
      <c r="E35" s="67">
        <f>ROUND(1152+C35*0.08,0)</f>
        <v/>
      </c>
      <c r="F35" s="67" t="n">
        <v>900</v>
      </c>
      <c r="G35" s="67" t="n">
        <v>250</v>
      </c>
      <c r="H35" s="67">
        <f>ROUND(600+C35*0.02,0)</f>
        <v/>
      </c>
      <c r="I35" s="67">
        <f>SUM(E35:H35)</f>
        <v/>
      </c>
      <c r="J35" s="67">
        <f>C35-D35-I35</f>
        <v/>
      </c>
      <c r="K35" s="68">
        <f>F35/C35</f>
        <v/>
      </c>
    </row>
    <row r="36">
      <c r="A36" t="inlineStr">
        <is>
          <t>2年目</t>
        </is>
      </c>
      <c r="B36" t="n">
        <v>17</v>
      </c>
      <c r="C36" s="67" t="n">
        <v>4960</v>
      </c>
      <c r="D36" s="67">
        <f>ROUND(C36*0.06,0)</f>
        <v/>
      </c>
      <c r="E36" s="67">
        <f>ROUND(1152+C36*0.08,0)</f>
        <v/>
      </c>
      <c r="F36" s="67" t="n">
        <v>900</v>
      </c>
      <c r="G36" s="67" t="n">
        <v>250</v>
      </c>
      <c r="H36" s="67">
        <f>ROUND(600+C36*0.02,0)</f>
        <v/>
      </c>
      <c r="I36" s="67">
        <f>SUM(E36:H36)</f>
        <v/>
      </c>
      <c r="J36" s="67">
        <f>C36-D36-I36</f>
        <v/>
      </c>
      <c r="K36" s="68">
        <f>F36/C36</f>
        <v/>
      </c>
    </row>
    <row r="37">
      <c r="A37" t="inlineStr">
        <is>
          <t>2年目</t>
        </is>
      </c>
      <c r="B37" t="n">
        <v>18</v>
      </c>
      <c r="C37" s="67" t="n">
        <v>5030</v>
      </c>
      <c r="D37" s="67">
        <f>ROUND(C37*0.06,0)</f>
        <v/>
      </c>
      <c r="E37" s="67">
        <f>ROUND(1152+C37*0.08,0)</f>
        <v/>
      </c>
      <c r="F37" s="67" t="n">
        <v>900</v>
      </c>
      <c r="G37" s="67" t="n">
        <v>250</v>
      </c>
      <c r="H37" s="67">
        <f>ROUND(600+C37*0.02,0)</f>
        <v/>
      </c>
      <c r="I37" s="67">
        <f>SUM(E37:H37)</f>
        <v/>
      </c>
      <c r="J37" s="67">
        <f>C37-D37-I37</f>
        <v/>
      </c>
      <c r="K37" s="68">
        <f>F37/C37</f>
        <v/>
      </c>
    </row>
    <row r="38">
      <c r="A38" t="inlineStr">
        <is>
          <t>2年目</t>
        </is>
      </c>
      <c r="B38" t="n">
        <v>19</v>
      </c>
      <c r="C38" s="67" t="n">
        <v>5090</v>
      </c>
      <c r="D38" s="67">
        <f>ROUND(C38*0.06,0)</f>
        <v/>
      </c>
      <c r="E38" s="67">
        <f>ROUND(1152+C38*0.08,0)</f>
        <v/>
      </c>
      <c r="F38" s="67" t="n">
        <v>900</v>
      </c>
      <c r="G38" s="67" t="n">
        <v>250</v>
      </c>
      <c r="H38" s="67">
        <f>ROUND(600+C38*0.02,0)</f>
        <v/>
      </c>
      <c r="I38" s="67">
        <f>SUM(E38:H38)</f>
        <v/>
      </c>
      <c r="J38" s="67">
        <f>C38-D38-I38</f>
        <v/>
      </c>
      <c r="K38" s="68">
        <f>F38/C38</f>
        <v/>
      </c>
    </row>
    <row r="39">
      <c r="A39" t="inlineStr">
        <is>
          <t>2年目</t>
        </is>
      </c>
      <c r="B39" t="n">
        <v>20</v>
      </c>
      <c r="C39" s="67" t="n">
        <v>5140</v>
      </c>
      <c r="D39" s="67">
        <f>ROUND(C39*0.06,0)</f>
        <v/>
      </c>
      <c r="E39" s="67">
        <f>ROUND(1152+C39*0.08,0)</f>
        <v/>
      </c>
      <c r="F39" s="67" t="n">
        <v>900</v>
      </c>
      <c r="G39" s="67" t="n">
        <v>250</v>
      </c>
      <c r="H39" s="67">
        <f>ROUND(600+C39*0.02,0)</f>
        <v/>
      </c>
      <c r="I39" s="67">
        <f>SUM(E39:H39)</f>
        <v/>
      </c>
      <c r="J39" s="67">
        <f>C39-D39-I39</f>
        <v/>
      </c>
      <c r="K39" s="68">
        <f>F39/C39</f>
        <v/>
      </c>
    </row>
    <row r="40">
      <c r="A40" t="inlineStr">
        <is>
          <t>2年目</t>
        </is>
      </c>
      <c r="B40" t="n">
        <v>21</v>
      </c>
      <c r="C40" s="67" t="n">
        <v>5190</v>
      </c>
      <c r="D40" s="67">
        <f>ROUND(C40*0.06,0)</f>
        <v/>
      </c>
      <c r="E40" s="67">
        <f>ROUND(1152+C40*0.08,0)</f>
        <v/>
      </c>
      <c r="F40" s="67" t="n">
        <v>900</v>
      </c>
      <c r="G40" s="67" t="n">
        <v>250</v>
      </c>
      <c r="H40" s="67">
        <f>ROUND(600+C40*0.02,0)</f>
        <v/>
      </c>
      <c r="I40" s="67">
        <f>SUM(E40:H40)</f>
        <v/>
      </c>
      <c r="J40" s="67">
        <f>C40-D40-I40</f>
        <v/>
      </c>
      <c r="K40" s="68">
        <f>F40/C40</f>
        <v/>
      </c>
    </row>
    <row r="41">
      <c r="A41" t="inlineStr">
        <is>
          <t>2年目</t>
        </is>
      </c>
      <c r="B41" t="n">
        <v>22</v>
      </c>
      <c r="C41" s="67" t="n">
        <v>5240</v>
      </c>
      <c r="D41" s="67">
        <f>ROUND(C41*0.06,0)</f>
        <v/>
      </c>
      <c r="E41" s="67">
        <f>ROUND(1152+C41*0.08,0)</f>
        <v/>
      </c>
      <c r="F41" s="67" t="n">
        <v>900</v>
      </c>
      <c r="G41" s="67" t="n">
        <v>250</v>
      </c>
      <c r="H41" s="67">
        <f>ROUND(600+C41*0.02,0)</f>
        <v/>
      </c>
      <c r="I41" s="67">
        <f>SUM(E41:H41)</f>
        <v/>
      </c>
      <c r="J41" s="67">
        <f>C41-D41-I41</f>
        <v/>
      </c>
      <c r="K41" s="68">
        <f>F41/C41</f>
        <v/>
      </c>
    </row>
    <row r="42">
      <c r="A42" t="inlineStr">
        <is>
          <t>2年目</t>
        </is>
      </c>
      <c r="B42" t="n">
        <v>23</v>
      </c>
      <c r="C42" s="67" t="n">
        <v>5270</v>
      </c>
      <c r="D42" s="67">
        <f>ROUND(C42*0.06,0)</f>
        <v/>
      </c>
      <c r="E42" s="67">
        <f>ROUND(1152+C42*0.08,0)</f>
        <v/>
      </c>
      <c r="F42" s="67" t="n">
        <v>900</v>
      </c>
      <c r="G42" s="67" t="n">
        <v>250</v>
      </c>
      <c r="H42" s="67">
        <f>ROUND(600+C42*0.02,0)</f>
        <v/>
      </c>
      <c r="I42" s="67">
        <f>SUM(E42:H42)</f>
        <v/>
      </c>
      <c r="J42" s="67">
        <f>C42-D42-I42</f>
        <v/>
      </c>
      <c r="K42" s="68">
        <f>F42/C42</f>
        <v/>
      </c>
    </row>
    <row r="43">
      <c r="A43" t="inlineStr">
        <is>
          <t>2年目</t>
        </is>
      </c>
      <c r="B43" t="n">
        <v>24</v>
      </c>
      <c r="C43" s="67" t="n">
        <v>5310</v>
      </c>
      <c r="D43" s="67">
        <f>ROUND(C43*0.06,0)</f>
        <v/>
      </c>
      <c r="E43" s="67">
        <f>ROUND(1152+C43*0.08,0)</f>
        <v/>
      </c>
      <c r="F43" s="67" t="n">
        <v>900</v>
      </c>
      <c r="G43" s="67" t="n">
        <v>250</v>
      </c>
      <c r="H43" s="67">
        <f>ROUND(600+C43*0.02,0)</f>
        <v/>
      </c>
      <c r="I43" s="67">
        <f>SUM(E43:H43)</f>
        <v/>
      </c>
      <c r="J43" s="67">
        <f>C43-D43-I43</f>
        <v/>
      </c>
      <c r="K43" s="68">
        <f>F43/C43</f>
        <v/>
      </c>
    </row>
    <row r="44">
      <c r="A44" t="inlineStr">
        <is>
          <t>3年目</t>
        </is>
      </c>
      <c r="B44" t="n">
        <v>25</v>
      </c>
      <c r="C44" s="67" t="n">
        <v>5340</v>
      </c>
      <c r="D44" s="67">
        <f>ROUND(C44*0.06,0)</f>
        <v/>
      </c>
      <c r="E44" s="67">
        <f>ROUND(1152+C44*0.08,0)</f>
        <v/>
      </c>
      <c r="F44" s="67" t="n">
        <v>900</v>
      </c>
      <c r="G44" s="67" t="n">
        <v>220</v>
      </c>
      <c r="H44" s="67">
        <f>ROUND(600+C44*0.02,0)</f>
        <v/>
      </c>
      <c r="I44" s="67">
        <f>SUM(E44:H44)</f>
        <v/>
      </c>
      <c r="J44" s="67">
        <f>C44-D44-I44</f>
        <v/>
      </c>
      <c r="K44" s="68">
        <f>F44/C44</f>
        <v/>
      </c>
    </row>
    <row r="45">
      <c r="A45" t="inlineStr">
        <is>
          <t>3年目</t>
        </is>
      </c>
      <c r="B45" t="n">
        <v>26</v>
      </c>
      <c r="C45" s="67" t="n">
        <v>5370</v>
      </c>
      <c r="D45" s="67">
        <f>ROUND(C45*0.06,0)</f>
        <v/>
      </c>
      <c r="E45" s="67">
        <f>ROUND(1152+C45*0.08,0)</f>
        <v/>
      </c>
      <c r="F45" s="67" t="n">
        <v>900</v>
      </c>
      <c r="G45" s="67" t="n">
        <v>220</v>
      </c>
      <c r="H45" s="67">
        <f>ROUND(600+C45*0.02,0)</f>
        <v/>
      </c>
      <c r="I45" s="67">
        <f>SUM(E45:H45)</f>
        <v/>
      </c>
      <c r="J45" s="67">
        <f>C45-D45-I45</f>
        <v/>
      </c>
      <c r="K45" s="68">
        <f>F45/C45</f>
        <v/>
      </c>
    </row>
    <row r="46">
      <c r="A46" t="inlineStr">
        <is>
          <t>3年目</t>
        </is>
      </c>
      <c r="B46" t="n">
        <v>27</v>
      </c>
      <c r="C46" s="67" t="n">
        <v>5390</v>
      </c>
      <c r="D46" s="67">
        <f>ROUND(C46*0.06,0)</f>
        <v/>
      </c>
      <c r="E46" s="67">
        <f>ROUND(1152+C46*0.08,0)</f>
        <v/>
      </c>
      <c r="F46" s="67" t="n">
        <v>900</v>
      </c>
      <c r="G46" s="67" t="n">
        <v>220</v>
      </c>
      <c r="H46" s="67">
        <f>ROUND(600+C46*0.02,0)</f>
        <v/>
      </c>
      <c r="I46" s="67">
        <f>SUM(E46:H46)</f>
        <v/>
      </c>
      <c r="J46" s="67">
        <f>C46-D46-I46</f>
        <v/>
      </c>
      <c r="K46" s="68">
        <f>F46/C46</f>
        <v/>
      </c>
    </row>
    <row r="47">
      <c r="A47" t="inlineStr">
        <is>
          <t>3年目</t>
        </is>
      </c>
      <c r="B47" t="n">
        <v>28</v>
      </c>
      <c r="C47" s="67" t="n">
        <v>5410</v>
      </c>
      <c r="D47" s="67">
        <f>ROUND(C47*0.06,0)</f>
        <v/>
      </c>
      <c r="E47" s="67">
        <f>ROUND(1152+C47*0.08,0)</f>
        <v/>
      </c>
      <c r="F47" s="67" t="n">
        <v>900</v>
      </c>
      <c r="G47" s="67" t="n">
        <v>220</v>
      </c>
      <c r="H47" s="67">
        <f>ROUND(600+C47*0.02,0)</f>
        <v/>
      </c>
      <c r="I47" s="67">
        <f>SUM(E47:H47)</f>
        <v/>
      </c>
      <c r="J47" s="67">
        <f>C47-D47-I47</f>
        <v/>
      </c>
      <c r="K47" s="68">
        <f>F47/C47</f>
        <v/>
      </c>
    </row>
    <row r="48">
      <c r="A48" t="inlineStr">
        <is>
          <t>3年目</t>
        </is>
      </c>
      <c r="B48" t="n">
        <v>29</v>
      </c>
      <c r="C48" s="67" t="n">
        <v>5430</v>
      </c>
      <c r="D48" s="67">
        <f>ROUND(C48*0.06,0)</f>
        <v/>
      </c>
      <c r="E48" s="67">
        <f>ROUND(1152+C48*0.08,0)</f>
        <v/>
      </c>
      <c r="F48" s="67" t="n">
        <v>900</v>
      </c>
      <c r="G48" s="67" t="n">
        <v>220</v>
      </c>
      <c r="H48" s="67">
        <f>ROUND(600+C48*0.02,0)</f>
        <v/>
      </c>
      <c r="I48" s="67">
        <f>SUM(E48:H48)</f>
        <v/>
      </c>
      <c r="J48" s="67">
        <f>C48-D48-I48</f>
        <v/>
      </c>
      <c r="K48" s="68">
        <f>F48/C48</f>
        <v/>
      </c>
    </row>
    <row r="49">
      <c r="A49" t="inlineStr">
        <is>
          <t>3年目</t>
        </is>
      </c>
      <c r="B49" t="n">
        <v>30</v>
      </c>
      <c r="C49" s="67" t="n">
        <v>5450</v>
      </c>
      <c r="D49" s="67">
        <f>ROUND(C49*0.06,0)</f>
        <v/>
      </c>
      <c r="E49" s="67">
        <f>ROUND(1152+C49*0.08,0)</f>
        <v/>
      </c>
      <c r="F49" s="67" t="n">
        <v>900</v>
      </c>
      <c r="G49" s="67" t="n">
        <v>220</v>
      </c>
      <c r="H49" s="67">
        <f>ROUND(600+C49*0.02,0)</f>
        <v/>
      </c>
      <c r="I49" s="67">
        <f>SUM(E49:H49)</f>
        <v/>
      </c>
      <c r="J49" s="67">
        <f>C49-D49-I49</f>
        <v/>
      </c>
      <c r="K49" s="68">
        <f>F49/C49</f>
        <v/>
      </c>
    </row>
    <row r="50">
      <c r="A50" t="inlineStr">
        <is>
          <t>3年目</t>
        </is>
      </c>
      <c r="B50" t="n">
        <v>31</v>
      </c>
      <c r="C50" s="67" t="n">
        <v>5470</v>
      </c>
      <c r="D50" s="67">
        <f>ROUND(C50*0.06,0)</f>
        <v/>
      </c>
      <c r="E50" s="67">
        <f>ROUND(1152+C50*0.08,0)</f>
        <v/>
      </c>
      <c r="F50" s="67" t="n">
        <v>900</v>
      </c>
      <c r="G50" s="67" t="n">
        <v>220</v>
      </c>
      <c r="H50" s="67">
        <f>ROUND(600+C50*0.02,0)</f>
        <v/>
      </c>
      <c r="I50" s="67">
        <f>SUM(E50:H50)</f>
        <v/>
      </c>
      <c r="J50" s="67">
        <f>C50-D50-I50</f>
        <v/>
      </c>
      <c r="K50" s="68">
        <f>F50/C50</f>
        <v/>
      </c>
    </row>
    <row r="51">
      <c r="A51" t="inlineStr">
        <is>
          <t>3年目</t>
        </is>
      </c>
      <c r="B51" t="n">
        <v>32</v>
      </c>
      <c r="C51" s="67" t="n">
        <v>5480</v>
      </c>
      <c r="D51" s="67">
        <f>ROUND(C51*0.06,0)</f>
        <v/>
      </c>
      <c r="E51" s="67">
        <f>ROUND(1152+C51*0.08,0)</f>
        <v/>
      </c>
      <c r="F51" s="67" t="n">
        <v>900</v>
      </c>
      <c r="G51" s="67" t="n">
        <v>220</v>
      </c>
      <c r="H51" s="67">
        <f>ROUND(600+C51*0.02,0)</f>
        <v/>
      </c>
      <c r="I51" s="67">
        <f>SUM(E51:H51)</f>
        <v/>
      </c>
      <c r="J51" s="67">
        <f>C51-D51-I51</f>
        <v/>
      </c>
      <c r="K51" s="68">
        <f>F51/C51</f>
        <v/>
      </c>
    </row>
    <row r="52">
      <c r="A52" t="inlineStr">
        <is>
          <t>3年目</t>
        </is>
      </c>
      <c r="B52" t="n">
        <v>33</v>
      </c>
      <c r="C52" s="67" t="n">
        <v>5490</v>
      </c>
      <c r="D52" s="67">
        <f>ROUND(C52*0.06,0)</f>
        <v/>
      </c>
      <c r="E52" s="67">
        <f>ROUND(1152+C52*0.08,0)</f>
        <v/>
      </c>
      <c r="F52" s="67" t="n">
        <v>900</v>
      </c>
      <c r="G52" s="67" t="n">
        <v>220</v>
      </c>
      <c r="H52" s="67">
        <f>ROUND(600+C52*0.02,0)</f>
        <v/>
      </c>
      <c r="I52" s="67">
        <f>SUM(E52:H52)</f>
        <v/>
      </c>
      <c r="J52" s="67">
        <f>C52-D52-I52</f>
        <v/>
      </c>
      <c r="K52" s="68">
        <f>F52/C52</f>
        <v/>
      </c>
    </row>
    <row r="53">
      <c r="A53" t="inlineStr">
        <is>
          <t>3年目</t>
        </is>
      </c>
      <c r="B53" t="n">
        <v>34</v>
      </c>
      <c r="C53" s="67" t="n">
        <v>5500</v>
      </c>
      <c r="D53" s="67">
        <f>ROUND(C53*0.06,0)</f>
        <v/>
      </c>
      <c r="E53" s="67">
        <f>ROUND(1152+C53*0.08,0)</f>
        <v/>
      </c>
      <c r="F53" s="67" t="n">
        <v>900</v>
      </c>
      <c r="G53" s="67" t="n">
        <v>220</v>
      </c>
      <c r="H53" s="67">
        <f>ROUND(600+C53*0.02,0)</f>
        <v/>
      </c>
      <c r="I53" s="67">
        <f>SUM(E53:H53)</f>
        <v/>
      </c>
      <c r="J53" s="67">
        <f>C53-D53-I53</f>
        <v/>
      </c>
      <c r="K53" s="68">
        <f>F53/C53</f>
        <v/>
      </c>
    </row>
    <row r="54">
      <c r="A54" t="inlineStr">
        <is>
          <t>3年目</t>
        </is>
      </c>
      <c r="B54" t="n">
        <v>35</v>
      </c>
      <c r="C54" s="67" t="n">
        <v>5510</v>
      </c>
      <c r="D54" s="67">
        <f>ROUND(C54*0.06,0)</f>
        <v/>
      </c>
      <c r="E54" s="67">
        <f>ROUND(1152+C54*0.08,0)</f>
        <v/>
      </c>
      <c r="F54" s="67" t="n">
        <v>900</v>
      </c>
      <c r="G54" s="67" t="n">
        <v>220</v>
      </c>
      <c r="H54" s="67">
        <f>ROUND(600+C54*0.02,0)</f>
        <v/>
      </c>
      <c r="I54" s="67">
        <f>SUM(E54:H54)</f>
        <v/>
      </c>
      <c r="J54" s="67">
        <f>C54-D54-I54</f>
        <v/>
      </c>
      <c r="K54" s="68">
        <f>F54/C54</f>
        <v/>
      </c>
    </row>
    <row r="55">
      <c r="A55" t="inlineStr">
        <is>
          <t>3年目</t>
        </is>
      </c>
      <c r="B55" t="n">
        <v>36</v>
      </c>
      <c r="C55" s="67" t="n">
        <v>5600</v>
      </c>
      <c r="D55" s="67">
        <f>ROUND(C55*0.06,0)</f>
        <v/>
      </c>
      <c r="E55" s="67">
        <f>ROUND(1152+C55*0.08,0)</f>
        <v/>
      </c>
      <c r="F55" s="67" t="n">
        <v>900</v>
      </c>
      <c r="G55" s="67" t="n">
        <v>220</v>
      </c>
      <c r="H55" s="67">
        <f>ROUND(600+C55*0.02,0)</f>
        <v/>
      </c>
      <c r="I55" s="67">
        <f>SUM(E55:H55)</f>
        <v/>
      </c>
      <c r="J55" s="67">
        <f>C55-D55-I55</f>
        <v/>
      </c>
      <c r="K55" s="68">
        <f>F55/C55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2010-05-18T01:50:52Z</dcterms:created>
  <dcterms:modified xmlns:dcterms="http://purl.org/dc/terms/" xmlns:xsi="http://www.w3.org/2001/XMLSchema-instance" xsi:type="dcterms:W3CDTF">2026-10-13T03:43:51Z</dcterms:modified>
  <cp:lastModifiedBy>庄司 怜矛（ＭＲＥＳ）</cp:lastModifiedBy>
  <cp:revision>0</cp:revision>
  <cp:lastPrinted>2025-01-22T01:08:03Z</cp:lastPrinted>
</cp:coreProperties>
</file>